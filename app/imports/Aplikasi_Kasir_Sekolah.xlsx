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Pengaturan" sheetId="2" r:id="rId5"/>
    <sheet state="visible" name="Data_Anak" sheetId="3" r:id="rId6"/>
    <sheet state="visible" name="Data_Barang" sheetId="4" r:id="rId7"/>
    <sheet state="visible" name="Barang_Masuk" sheetId="5" r:id="rId8"/>
    <sheet state="visible" name="Penjualan" sheetId="6" r:id="rId9"/>
    <sheet state="visible" name="Detail_Penjualan" sheetId="7" r:id="rId10"/>
    <sheet state="visible" name="Piutang" sheetId="8" r:id="rId11"/>
    <sheet state="visible" name="Pembayaran_Piutang" sheetId="9" r:id="rId12"/>
    <sheet state="visible" name="Kasir" sheetId="10" r:id="rId13"/>
    <sheet state="visible" name="Kwitansi" sheetId="11" r:id="rId14"/>
  </sheets>
  <definedNames/>
  <calcPr/>
</workbook>
</file>

<file path=xl/sharedStrings.xml><?xml version="1.0" encoding="utf-8"?>
<sst xmlns="http://schemas.openxmlformats.org/spreadsheetml/2006/main" count="286" uniqueCount="191">
  <si>
    <t>DASHBOARD KASIR SEKOLAH</t>
  </si>
  <si>
    <t>Total Penjualan Hari Ini:</t>
  </si>
  <si>
    <t>Total Transaksi Hari Ini:</t>
  </si>
  <si>
    <t>Total Keuntungan Hari Ini:</t>
  </si>
  <si>
    <t>Total Piutang Berjalan:</t>
  </si>
  <si>
    <t>Barang Stok Menipis:</t>
  </si>
  <si>
    <t>Kategori Barang</t>
  </si>
  <si>
    <t>Metode Pembayaran</t>
  </si>
  <si>
    <t>Kelas</t>
  </si>
  <si>
    <t>Status</t>
  </si>
  <si>
    <t>Makanan</t>
  </si>
  <si>
    <t>Tunai</t>
  </si>
  <si>
    <t>1A</t>
  </si>
  <si>
    <t>Aktif</t>
  </si>
  <si>
    <t>Minuman</t>
  </si>
  <si>
    <t>Transfer</t>
  </si>
  <si>
    <t>1B</t>
  </si>
  <si>
    <t>Nonaktif</t>
  </si>
  <si>
    <t>Alat Tulis</t>
  </si>
  <si>
    <t>QRIS</t>
  </si>
  <si>
    <t>2A</t>
  </si>
  <si>
    <t>Lunas</t>
  </si>
  <si>
    <t>Seragam</t>
  </si>
  <si>
    <t>Piutang</t>
  </si>
  <si>
    <t>2B</t>
  </si>
  <si>
    <t>Belum Lunas</t>
  </si>
  <si>
    <t>Buku</t>
  </si>
  <si>
    <t>3A</t>
  </si>
  <si>
    <t>Sebagian</t>
  </si>
  <si>
    <t>Lain-lain</t>
  </si>
  <si>
    <t>3B</t>
  </si>
  <si>
    <t>ID_Anak</t>
  </si>
  <si>
    <t>NIS</t>
  </si>
  <si>
    <t>Nama_Anak</t>
  </si>
  <si>
    <t>Nama_Wali</t>
  </si>
  <si>
    <t>WA</t>
  </si>
  <si>
    <t>Alamat</t>
  </si>
  <si>
    <t>Status_Aktif</t>
  </si>
  <si>
    <t>A-001</t>
  </si>
  <si>
    <t>1001</t>
  </si>
  <si>
    <t>Budi Santoso</t>
  </si>
  <si>
    <t>Agus Santoso</t>
  </si>
  <si>
    <t>08123456701</t>
  </si>
  <si>
    <t>Jl. Merdeka 1</t>
  </si>
  <si>
    <t>A-002</t>
  </si>
  <si>
    <t>1002</t>
  </si>
  <si>
    <t>Siti Aminah</t>
  </si>
  <si>
    <t>Ahmad</t>
  </si>
  <si>
    <t>08123456702</t>
  </si>
  <si>
    <t>Jl. Sudirman 2</t>
  </si>
  <si>
    <t>A-003</t>
  </si>
  <si>
    <t>1003</t>
  </si>
  <si>
    <t>Andi Wijaya</t>
  </si>
  <si>
    <t>Budi W</t>
  </si>
  <si>
    <t>08123456703</t>
  </si>
  <si>
    <t>Jl. Mawar 3</t>
  </si>
  <si>
    <t>A-004</t>
  </si>
  <si>
    <t>1004</t>
  </si>
  <si>
    <t>Rina Melati</t>
  </si>
  <si>
    <t>Hasan</t>
  </si>
  <si>
    <t>08123456704</t>
  </si>
  <si>
    <t>Jl. Melati 4</t>
  </si>
  <si>
    <t>A-005</t>
  </si>
  <si>
    <t>1005</t>
  </si>
  <si>
    <t>Dika Pratama</t>
  </si>
  <si>
    <t>Joko</t>
  </si>
  <si>
    <t>08123456705</t>
  </si>
  <si>
    <t>Jl. Anggrek 5</t>
  </si>
  <si>
    <t>A-006</t>
  </si>
  <si>
    <t>1006</t>
  </si>
  <si>
    <t>Nisa Kamil</t>
  </si>
  <si>
    <t>Kamil</t>
  </si>
  <si>
    <t>08123456706</t>
  </si>
  <si>
    <t>Jl. Kenanga 6</t>
  </si>
  <si>
    <t>A-007</t>
  </si>
  <si>
    <t>1007</t>
  </si>
  <si>
    <t>Fajar Siddiq</t>
  </si>
  <si>
    <t>Siddiq</t>
  </si>
  <si>
    <t>08123456707</t>
  </si>
  <si>
    <t>Jl. Kamboja 7</t>
  </si>
  <si>
    <t>A-008</t>
  </si>
  <si>
    <t>1008</t>
  </si>
  <si>
    <t>Lestari</t>
  </si>
  <si>
    <t>Parno</t>
  </si>
  <si>
    <t>08123456708</t>
  </si>
  <si>
    <t>Jl. Dahlia 8</t>
  </si>
  <si>
    <t>A-009</t>
  </si>
  <si>
    <t>1009</t>
  </si>
  <si>
    <t>Reza Rahadian</t>
  </si>
  <si>
    <t>Rahman</t>
  </si>
  <si>
    <t>08123456709</t>
  </si>
  <si>
    <t>Jl. Flamboyan 9</t>
  </si>
  <si>
    <t>A-010</t>
  </si>
  <si>
    <t>1010</t>
  </si>
  <si>
    <t>Ayu Ting</t>
  </si>
  <si>
    <t>Ting</t>
  </si>
  <si>
    <t>08123456710</t>
  </si>
  <si>
    <t>Jl. Teratai 10</t>
  </si>
  <si>
    <t>Kode_Barang</t>
  </si>
  <si>
    <t>Nama_Barang</t>
  </si>
  <si>
    <t>Kategori</t>
  </si>
  <si>
    <t>Satuan</t>
  </si>
  <si>
    <t>Harga_Modal</t>
  </si>
  <si>
    <t>Harga_Jual</t>
  </si>
  <si>
    <t>Stok_Awal</t>
  </si>
  <si>
    <t>Barang_Masuk</t>
  </si>
  <si>
    <t>Barang_Terjual</t>
  </si>
  <si>
    <t>Sisa_Stok</t>
  </si>
  <si>
    <t>Min_Stok</t>
  </si>
  <si>
    <t>B-001</t>
  </si>
  <si>
    <t>Buku Tulis Sinar</t>
  </si>
  <si>
    <t>Pcs</t>
  </si>
  <si>
    <t>B-002</t>
  </si>
  <si>
    <t>Pensil 2B</t>
  </si>
  <si>
    <t>B-003</t>
  </si>
  <si>
    <t>Penghapus</t>
  </si>
  <si>
    <t>B-004</t>
  </si>
  <si>
    <t>Penggaris 30cm</t>
  </si>
  <si>
    <t>B-005</t>
  </si>
  <si>
    <t>Air Mineral 600ml</t>
  </si>
  <si>
    <t>Botol</t>
  </si>
  <si>
    <t>B-006</t>
  </si>
  <si>
    <t>Susu Coklat</t>
  </si>
  <si>
    <t>Kotak</t>
  </si>
  <si>
    <t>B-007</t>
  </si>
  <si>
    <t>Roti Coklat</t>
  </si>
  <si>
    <t>Bungkus</t>
  </si>
  <si>
    <t>B-008</t>
  </si>
  <si>
    <t>Biskuit</t>
  </si>
  <si>
    <t>B-009</t>
  </si>
  <si>
    <t>Nasi Kuning</t>
  </si>
  <si>
    <t>B-010</t>
  </si>
  <si>
    <t>Seragam SD Putih</t>
  </si>
  <si>
    <t>B-011</t>
  </si>
  <si>
    <t>Seragam SD Merah</t>
  </si>
  <si>
    <t>B-012</t>
  </si>
  <si>
    <t>Dasi SD</t>
  </si>
  <si>
    <t>B-013</t>
  </si>
  <si>
    <t>Topi SD</t>
  </si>
  <si>
    <t>B-014</t>
  </si>
  <si>
    <t>Buku Gambar A4</t>
  </si>
  <si>
    <t>B-015</t>
  </si>
  <si>
    <t>Spidol Hitam</t>
  </si>
  <si>
    <t>No_Pembelian</t>
  </si>
  <si>
    <t>Tanggal</t>
  </si>
  <si>
    <t>Supplier</t>
  </si>
  <si>
    <t>Jumlah</t>
  </si>
  <si>
    <t>Total</t>
  </si>
  <si>
    <t>Keterangan</t>
  </si>
  <si>
    <t>IN-001</t>
  </si>
  <si>
    <t>2026-09-01</t>
  </si>
  <si>
    <t>Toko ATK</t>
  </si>
  <si>
    <t>Stok Bulanan</t>
  </si>
  <si>
    <t>IN-002</t>
  </si>
  <si>
    <t>No_Transaksi</t>
  </si>
  <si>
    <t>Total_Item</t>
  </si>
  <si>
    <t>Total_Belanja</t>
  </si>
  <si>
    <t>Metode_Bayar</t>
  </si>
  <si>
    <t>Nominal_Bayar</t>
  </si>
  <si>
    <t>Kembalian_Piutang</t>
  </si>
  <si>
    <t>Keuntungan_Trx</t>
  </si>
  <si>
    <t>TRX-20260901-001</t>
  </si>
  <si>
    <t>TRX-20260902-002</t>
  </si>
  <si>
    <t>2026-09-02</t>
  </si>
  <si>
    <t>Qty</t>
  </si>
  <si>
    <t>Subtotal</t>
  </si>
  <si>
    <t>Keuntungan</t>
  </si>
  <si>
    <t>Tgl_Transaksi</t>
  </si>
  <si>
    <t>Total_Hutang</t>
  </si>
  <si>
    <t>Sudah_Dibayar</t>
  </si>
  <si>
    <t>Sisa_Hutang</t>
  </si>
  <si>
    <t>Tanggal_Bayar</t>
  </si>
  <si>
    <t>Nominal</t>
  </si>
  <si>
    <t>APLIKASI KASIR SEKOLAH</t>
  </si>
  <si>
    <t>No Transaksi:</t>
  </si>
  <si>
    <t>Tanggal:</t>
  </si>
  <si>
    <t>ID Anak (Pilih):</t>
  </si>
  <si>
    <t>Nama Anak:</t>
  </si>
  <si>
    <t>Kelas:</t>
  </si>
  <si>
    <t>Kode Barang</t>
  </si>
  <si>
    <t>Nama Barang</t>
  </si>
  <si>
    <t>Harga</t>
  </si>
  <si>
    <t>Total Belanja:</t>
  </si>
  <si>
    <t>Metode Bayar:</t>
  </si>
  <si>
    <t>Nominal Bayar:</t>
  </si>
  <si>
    <t>Kembalian/Sisa:</t>
  </si>
  <si>
    <t>KWITANSI PEMBAYARAN</t>
  </si>
  <si>
    <t>Barang</t>
  </si>
  <si>
    <t>Total:</t>
  </si>
  <si>
    <t>Bayar:</t>
  </si>
  <si>
    <t>Kembalian: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</si>
</sst>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18.0"/>
      <color rgb="FF203764"/>
    </font>
    <font>
      <b/>
      <sz val="14.0"/>
    </font>
    <font>
      <b/>
      <color rgb="FFFFFFFF"/>
    </font>
    <font>
      <sz val="11.0"/>
      <color/>
      <name val="Calibri"/>
    </font>
    <font/>
    <font>
      <b/>
      <color rgb="FFFF0000"/>
    </font>
  </fonts>
  <fills count="5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0" fillId="0" fontId="4" numFmtId="3" xfId="0" applyFont="1" applyNumberFormat="1"/>
    <xf borderId="0" fillId="0" fontId="5" numFmtId="3" xfId="0" applyFont="1" applyNumberFormat="1"/>
    <xf borderId="0" fillId="0" fontId="1" numFmtId="0" xfId="0" applyAlignment="1" applyFont="1">
      <alignment horizontal="center"/>
    </xf>
    <xf borderId="0" fillId="0" fontId="6" numFmtId="0" xfId="0" applyFont="1"/>
    <xf borderId="0" fillId="0" fontId="5" numFmtId="14" xfId="0" applyFont="1" applyNumberFormat="1"/>
    <xf borderId="1" fillId="3" fontId="4" numFmtId="0" xfId="0" applyAlignment="1" applyBorder="1" applyFill="1" applyFont="1">
      <alignment readingOrder="0"/>
    </xf>
    <xf borderId="2" fillId="2" fontId="3" numFmtId="0" xfId="0" applyAlignment="1" applyBorder="1" applyFont="1">
      <alignment horizontal="center"/>
    </xf>
    <xf borderId="2" fillId="4" fontId="4" numFmtId="0" xfId="0" applyAlignment="1" applyBorder="1" applyFill="1" applyFont="1">
      <alignment readingOrder="0"/>
    </xf>
    <xf borderId="2" fillId="4" fontId="4" numFmtId="0" xfId="0" applyBorder="1" applyFont="1"/>
    <xf borderId="2" fillId="3" fontId="4" numFmtId="0" xfId="0" applyBorder="1" applyFont="1"/>
    <xf borderId="2" fillId="3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1" width="8.71"/>
  </cols>
  <sheetData>
    <row r="2">
      <c r="B2" s="1" t="s">
        <v>0</v>
      </c>
    </row>
    <row r="4">
      <c r="B4" t="s">
        <v>1</v>
      </c>
      <c r="C4" s="2" t="str">
        <f>SUMIFS(Penjualan!F:F, Penjualan!B:B, TODAY())</f>
        <v>60000</v>
      </c>
    </row>
    <row r="5">
      <c r="B5" t="s">
        <v>2</v>
      </c>
      <c r="C5" t="str">
        <f>COUNTIFS(Penjualan!B:B, TODAY())</f>
        <v>1</v>
      </c>
    </row>
    <row r="6">
      <c r="B6" t="s">
        <v>3</v>
      </c>
      <c r="C6" t="str">
        <f>SUMIFS(Penjualan!K:K, Penjualan!B:B, TODAY())</f>
        <v>15000</v>
      </c>
    </row>
    <row r="7">
      <c r="B7" t="s">
        <v>4</v>
      </c>
      <c r="C7" t="str">
        <f>SUMIFS(Piutang!G:G, Piutang!H:H, "Belum Lunas")</f>
        <v>60000</v>
      </c>
    </row>
    <row r="9">
      <c r="B9" t="s">
        <v>5</v>
      </c>
      <c r="C9" t="str">
        <f>COUNTIF(Data_Barang!L:L, "STOK MENIPIS")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3" t="s">
        <v>6</v>
      </c>
      <c r="B1" s="3" t="s">
        <v>7</v>
      </c>
      <c r="C1" s="3" t="s">
        <v>8</v>
      </c>
      <c r="D1" s="3" t="s">
        <v>9</v>
      </c>
    </row>
    <row r="2">
      <c r="A2" t="s">
        <v>10</v>
      </c>
      <c r="B2" t="s">
        <v>11</v>
      </c>
      <c r="C2" t="s">
        <v>12</v>
      </c>
      <c r="D2" t="s">
        <v>13</v>
      </c>
    </row>
    <row r="3">
      <c r="A3" t="s">
        <v>14</v>
      </c>
      <c r="B3" t="s">
        <v>15</v>
      </c>
      <c r="C3" t="s">
        <v>16</v>
      </c>
      <c r="D3" t="s">
        <v>17</v>
      </c>
    </row>
    <row r="4">
      <c r="A4" t="s">
        <v>18</v>
      </c>
      <c r="B4" t="s">
        <v>19</v>
      </c>
      <c r="C4" t="s">
        <v>20</v>
      </c>
      <c r="D4" t="s">
        <v>21</v>
      </c>
    </row>
    <row r="5">
      <c r="A5" t="s">
        <v>22</v>
      </c>
      <c r="B5" t="s">
        <v>23</v>
      </c>
      <c r="C5" t="s">
        <v>24</v>
      </c>
      <c r="D5" t="s">
        <v>25</v>
      </c>
    </row>
    <row r="6">
      <c r="A6" t="s">
        <v>26</v>
      </c>
      <c r="C6" t="s">
        <v>27</v>
      </c>
      <c r="D6" t="s">
        <v>28</v>
      </c>
    </row>
    <row r="7">
      <c r="A7" t="s">
        <v>29</v>
      </c>
      <c r="C7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3" t="s">
        <v>31</v>
      </c>
      <c r="B1" s="3" t="s">
        <v>32</v>
      </c>
      <c r="C1" s="3" t="s">
        <v>33</v>
      </c>
      <c r="D1" s="3" t="s">
        <v>8</v>
      </c>
      <c r="E1" s="3" t="s">
        <v>34</v>
      </c>
      <c r="F1" s="3" t="s">
        <v>35</v>
      </c>
      <c r="G1" s="3" t="s">
        <v>36</v>
      </c>
      <c r="H1" s="3" t="s">
        <v>37</v>
      </c>
    </row>
    <row r="2">
      <c r="A2" t="s">
        <v>38</v>
      </c>
      <c r="B2" t="s">
        <v>39</v>
      </c>
      <c r="C2" t="s">
        <v>40</v>
      </c>
      <c r="D2" t="s">
        <v>12</v>
      </c>
      <c r="E2" t="s">
        <v>41</v>
      </c>
      <c r="F2" t="s">
        <v>42</v>
      </c>
      <c r="G2" t="s">
        <v>43</v>
      </c>
      <c r="H2" t="s">
        <v>13</v>
      </c>
    </row>
    <row r="3">
      <c r="A3" t="s">
        <v>44</v>
      </c>
      <c r="B3" t="s">
        <v>45</v>
      </c>
      <c r="C3" t="s">
        <v>46</v>
      </c>
      <c r="D3" t="s">
        <v>16</v>
      </c>
      <c r="E3" t="s">
        <v>47</v>
      </c>
      <c r="F3" t="s">
        <v>48</v>
      </c>
      <c r="G3" t="s">
        <v>49</v>
      </c>
      <c r="H3" t="s">
        <v>13</v>
      </c>
    </row>
    <row r="4">
      <c r="A4" t="s">
        <v>50</v>
      </c>
      <c r="B4" t="s">
        <v>51</v>
      </c>
      <c r="C4" t="s">
        <v>52</v>
      </c>
      <c r="D4" t="s">
        <v>20</v>
      </c>
      <c r="E4" t="s">
        <v>53</v>
      </c>
      <c r="F4" t="s">
        <v>54</v>
      </c>
      <c r="G4" t="s">
        <v>55</v>
      </c>
      <c r="H4" t="s">
        <v>13</v>
      </c>
    </row>
    <row r="5">
      <c r="A5" t="s">
        <v>56</v>
      </c>
      <c r="B5" t="s">
        <v>57</v>
      </c>
      <c r="C5" t="s">
        <v>58</v>
      </c>
      <c r="D5" t="s">
        <v>24</v>
      </c>
      <c r="E5" t="s">
        <v>59</v>
      </c>
      <c r="F5" t="s">
        <v>60</v>
      </c>
      <c r="G5" t="s">
        <v>61</v>
      </c>
      <c r="H5" t="s">
        <v>13</v>
      </c>
    </row>
    <row r="6">
      <c r="A6" t="s">
        <v>62</v>
      </c>
      <c r="B6" t="s">
        <v>63</v>
      </c>
      <c r="C6" t="s">
        <v>64</v>
      </c>
      <c r="D6" t="s">
        <v>27</v>
      </c>
      <c r="E6" t="s">
        <v>65</v>
      </c>
      <c r="F6" t="s">
        <v>66</v>
      </c>
      <c r="G6" t="s">
        <v>67</v>
      </c>
      <c r="H6" t="s">
        <v>13</v>
      </c>
    </row>
    <row r="7">
      <c r="A7" t="s">
        <v>68</v>
      </c>
      <c r="B7" t="s">
        <v>69</v>
      </c>
      <c r="C7" t="s">
        <v>70</v>
      </c>
      <c r="D7" t="s">
        <v>30</v>
      </c>
      <c r="E7" t="s">
        <v>71</v>
      </c>
      <c r="F7" t="s">
        <v>72</v>
      </c>
      <c r="G7" t="s">
        <v>73</v>
      </c>
      <c r="H7" t="s">
        <v>13</v>
      </c>
    </row>
    <row r="8">
      <c r="A8" t="s">
        <v>74</v>
      </c>
      <c r="B8" t="s">
        <v>75</v>
      </c>
      <c r="C8" t="s">
        <v>76</v>
      </c>
      <c r="D8" t="s">
        <v>12</v>
      </c>
      <c r="E8" t="s">
        <v>77</v>
      </c>
      <c r="F8" t="s">
        <v>78</v>
      </c>
      <c r="G8" t="s">
        <v>79</v>
      </c>
      <c r="H8" t="s">
        <v>13</v>
      </c>
    </row>
    <row r="9">
      <c r="A9" t="s">
        <v>80</v>
      </c>
      <c r="B9" t="s">
        <v>81</v>
      </c>
      <c r="C9" t="s">
        <v>82</v>
      </c>
      <c r="D9" t="s">
        <v>16</v>
      </c>
      <c r="E9" t="s">
        <v>83</v>
      </c>
      <c r="F9" t="s">
        <v>84</v>
      </c>
      <c r="G9" t="s">
        <v>85</v>
      </c>
      <c r="H9" t="s">
        <v>13</v>
      </c>
    </row>
    <row r="10">
      <c r="A10" t="s">
        <v>86</v>
      </c>
      <c r="B10" t="s">
        <v>87</v>
      </c>
      <c r="C10" t="s">
        <v>88</v>
      </c>
      <c r="D10" t="s">
        <v>20</v>
      </c>
      <c r="E10" t="s">
        <v>89</v>
      </c>
      <c r="F10" t="s">
        <v>90</v>
      </c>
      <c r="G10" t="s">
        <v>91</v>
      </c>
      <c r="H10" t="s">
        <v>13</v>
      </c>
    </row>
    <row r="11">
      <c r="A11" t="s">
        <v>92</v>
      </c>
      <c r="B11" t="s">
        <v>93</v>
      </c>
      <c r="C11" t="s">
        <v>94</v>
      </c>
      <c r="D11" t="s">
        <v>24</v>
      </c>
      <c r="E11" t="s">
        <v>95</v>
      </c>
      <c r="F11" t="s">
        <v>96</v>
      </c>
      <c r="G11" t="s">
        <v>97</v>
      </c>
      <c r="H1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>
      <c r="A1" s="3" t="s">
        <v>98</v>
      </c>
      <c r="B1" s="3" t="s">
        <v>99</v>
      </c>
      <c r="C1" s="3" t="s">
        <v>100</v>
      </c>
      <c r="D1" s="3" t="s">
        <v>101</v>
      </c>
      <c r="E1" s="3" t="s">
        <v>102</v>
      </c>
      <c r="F1" s="3" t="s">
        <v>103</v>
      </c>
      <c r="G1" s="3" t="s">
        <v>104</v>
      </c>
      <c r="H1" s="3" t="s">
        <v>105</v>
      </c>
      <c r="I1" s="3" t="s">
        <v>106</v>
      </c>
      <c r="J1" s="3" t="s">
        <v>107</v>
      </c>
      <c r="K1" s="3" t="s">
        <v>108</v>
      </c>
      <c r="L1" s="3" t="s">
        <v>9</v>
      </c>
    </row>
    <row r="2">
      <c r="A2" t="s">
        <v>109</v>
      </c>
      <c r="B2" t="s">
        <v>110</v>
      </c>
      <c r="C2" t="s">
        <v>18</v>
      </c>
      <c r="D2" t="s">
        <v>111</v>
      </c>
      <c r="E2" s="4">
        <v>3000.0</v>
      </c>
      <c r="F2" s="4">
        <v>4000.0</v>
      </c>
      <c r="G2">
        <v>50.0</v>
      </c>
      <c r="H2" t="str">
        <f>SUMIFS(Barang_Masuk!F:F, Barang_Masuk!D:D, A2)</f>
        <v>50</v>
      </c>
      <c r="I2" t="str">
        <f>SUMIFS(Detail_Penjualan!C:C, Detail_Penjualan!B:B, A2)</f>
        <v>2</v>
      </c>
      <c r="J2" t="str">
        <f t="shared" ref="J2:J16" si="1">G2+H2-I2</f>
        <v>98</v>
      </c>
      <c r="K2">
        <v>10.0</v>
      </c>
      <c r="L2" t="str">
        <f t="shared" ref="L2:L16" si="2">IF(J2&lt;=K2, "STOK MENIPIS", "Aman")</f>
        <v>Aman</v>
      </c>
    </row>
    <row r="3">
      <c r="A3" t="s">
        <v>112</v>
      </c>
      <c r="B3" t="s">
        <v>113</v>
      </c>
      <c r="C3" t="s">
        <v>18</v>
      </c>
      <c r="D3" t="s">
        <v>111</v>
      </c>
      <c r="E3">
        <v>1000.0</v>
      </c>
      <c r="F3" s="4">
        <v>2000.0</v>
      </c>
      <c r="G3">
        <v>100.0</v>
      </c>
      <c r="H3" t="str">
        <f>SUMIFS(Barang_Masuk!F:F, Barang_Masuk!D:D, A3)</f>
        <v>100</v>
      </c>
      <c r="I3" t="str">
        <f>SUMIFS(Detail_Penjualan!C:C, Detail_Penjualan!B:B, A3)</f>
        <v>0</v>
      </c>
      <c r="J3" t="str">
        <f t="shared" si="1"/>
        <v>200</v>
      </c>
      <c r="K3">
        <v>20.0</v>
      </c>
      <c r="L3" t="str">
        <f t="shared" si="2"/>
        <v>Aman</v>
      </c>
    </row>
    <row r="4">
      <c r="A4" t="s">
        <v>114</v>
      </c>
      <c r="B4" t="s">
        <v>115</v>
      </c>
      <c r="C4" t="s">
        <v>18</v>
      </c>
      <c r="D4" t="s">
        <v>111</v>
      </c>
      <c r="E4">
        <v>500.0</v>
      </c>
      <c r="F4">
        <v>1000.0</v>
      </c>
      <c r="G4">
        <v>50.0</v>
      </c>
      <c r="H4" t="str">
        <f>SUMIFS(Barang_Masuk!F:F, Barang_Masuk!D:D, A4)</f>
        <v>0</v>
      </c>
      <c r="I4" t="str">
        <f>SUMIFS(Detail_Penjualan!C:C, Detail_Penjualan!B:B, A4)</f>
        <v>0</v>
      </c>
      <c r="J4" t="str">
        <f t="shared" si="1"/>
        <v>50</v>
      </c>
      <c r="K4">
        <v>10.0</v>
      </c>
      <c r="L4" t="str">
        <f t="shared" si="2"/>
        <v>Aman</v>
      </c>
    </row>
    <row r="5">
      <c r="A5" t="s">
        <v>116</v>
      </c>
      <c r="B5" t="s">
        <v>117</v>
      </c>
      <c r="C5" t="s">
        <v>18</v>
      </c>
      <c r="D5" t="s">
        <v>111</v>
      </c>
      <c r="E5" s="4">
        <v>1500.0</v>
      </c>
      <c r="F5" s="4">
        <v>2500.0</v>
      </c>
      <c r="G5">
        <v>30.0</v>
      </c>
      <c r="H5" t="str">
        <f>SUMIFS(Barang_Masuk!F:F, Barang_Masuk!D:D, A5)</f>
        <v>0</v>
      </c>
      <c r="I5" t="str">
        <f>SUMIFS(Detail_Penjualan!C:C, Detail_Penjualan!B:B, A5)</f>
        <v>0</v>
      </c>
      <c r="J5" t="str">
        <f t="shared" si="1"/>
        <v>30</v>
      </c>
      <c r="K5">
        <v>5.0</v>
      </c>
      <c r="L5" t="str">
        <f t="shared" si="2"/>
        <v>Aman</v>
      </c>
    </row>
    <row r="6">
      <c r="A6" t="s">
        <v>118</v>
      </c>
      <c r="B6" t="s">
        <v>119</v>
      </c>
      <c r="C6" t="s">
        <v>14</v>
      </c>
      <c r="D6" t="s">
        <v>120</v>
      </c>
      <c r="E6" s="4">
        <v>2500.0</v>
      </c>
      <c r="F6" s="4">
        <v>3500.0</v>
      </c>
      <c r="G6">
        <v>100.0</v>
      </c>
      <c r="H6" t="str">
        <f>SUMIFS(Barang_Masuk!F:F, Barang_Masuk!D:D, A6)</f>
        <v>0</v>
      </c>
      <c r="I6" t="str">
        <f>SUMIFS(Detail_Penjualan!C:C, Detail_Penjualan!B:B, A6)</f>
        <v>1</v>
      </c>
      <c r="J6" t="str">
        <f t="shared" si="1"/>
        <v>99</v>
      </c>
      <c r="K6">
        <v>20.0</v>
      </c>
      <c r="L6" t="str">
        <f t="shared" si="2"/>
        <v>Aman</v>
      </c>
    </row>
    <row r="7">
      <c r="A7" t="s">
        <v>121</v>
      </c>
      <c r="B7" t="s">
        <v>122</v>
      </c>
      <c r="C7" t="s">
        <v>14</v>
      </c>
      <c r="D7" t="s">
        <v>123</v>
      </c>
      <c r="E7" s="4">
        <v>3500.0</v>
      </c>
      <c r="F7" s="4">
        <v>5000.0</v>
      </c>
      <c r="G7">
        <v>50.0</v>
      </c>
      <c r="H7" t="str">
        <f>SUMIFS(Barang_Masuk!F:F, Barang_Masuk!D:D, A7)</f>
        <v>0</v>
      </c>
      <c r="I7" t="str">
        <f>SUMIFS(Detail_Penjualan!C:C, Detail_Penjualan!B:B, A7)</f>
        <v>0</v>
      </c>
      <c r="J7" t="str">
        <f t="shared" si="1"/>
        <v>50</v>
      </c>
      <c r="K7">
        <v>10.0</v>
      </c>
      <c r="L7" t="str">
        <f t="shared" si="2"/>
        <v>Aman</v>
      </c>
    </row>
    <row r="8">
      <c r="A8" t="s">
        <v>124</v>
      </c>
      <c r="B8" t="s">
        <v>125</v>
      </c>
      <c r="C8" t="s">
        <v>10</v>
      </c>
      <c r="D8" t="s">
        <v>126</v>
      </c>
      <c r="E8" s="4">
        <v>2000.0</v>
      </c>
      <c r="F8" s="4">
        <v>3000.0</v>
      </c>
      <c r="G8">
        <v>40.0</v>
      </c>
      <c r="H8" t="str">
        <f>SUMIFS(Barang_Masuk!F:F, Barang_Masuk!D:D, A8)</f>
        <v>0</v>
      </c>
      <c r="I8" t="str">
        <f>SUMIFS(Detail_Penjualan!C:C, Detail_Penjualan!B:B, A8)</f>
        <v>0</v>
      </c>
      <c r="J8" t="str">
        <f t="shared" si="1"/>
        <v>40</v>
      </c>
      <c r="K8">
        <v>10.0</v>
      </c>
      <c r="L8" t="str">
        <f t="shared" si="2"/>
        <v>Aman</v>
      </c>
    </row>
    <row r="9">
      <c r="A9" t="s">
        <v>127</v>
      </c>
      <c r="B9" t="s">
        <v>128</v>
      </c>
      <c r="C9" t="s">
        <v>10</v>
      </c>
      <c r="D9" t="s">
        <v>126</v>
      </c>
      <c r="E9" s="4">
        <v>1500.0</v>
      </c>
      <c r="F9" s="4">
        <v>2500.0</v>
      </c>
      <c r="G9">
        <v>60.0</v>
      </c>
      <c r="H9" t="str">
        <f>SUMIFS(Barang_Masuk!F:F, Barang_Masuk!D:D, A9)</f>
        <v>0</v>
      </c>
      <c r="I9" t="str">
        <f>SUMIFS(Detail_Penjualan!C:C, Detail_Penjualan!B:B, A9)</f>
        <v>0</v>
      </c>
      <c r="J9" t="str">
        <f t="shared" si="1"/>
        <v>60</v>
      </c>
      <c r="K9">
        <v>15.0</v>
      </c>
      <c r="L9" t="str">
        <f t="shared" si="2"/>
        <v>Aman</v>
      </c>
    </row>
    <row r="10">
      <c r="A10" t="s">
        <v>129</v>
      </c>
      <c r="B10" t="s">
        <v>130</v>
      </c>
      <c r="C10" t="s">
        <v>10</v>
      </c>
      <c r="D10" t="s">
        <v>126</v>
      </c>
      <c r="E10" s="4">
        <v>5000.0</v>
      </c>
      <c r="F10" s="4">
        <v>7000.0</v>
      </c>
      <c r="G10">
        <v>20.0</v>
      </c>
      <c r="H10" t="str">
        <f>SUMIFS(Barang_Masuk!F:F, Barang_Masuk!D:D, A10)</f>
        <v>0</v>
      </c>
      <c r="I10" t="str">
        <f>SUMIFS(Detail_Penjualan!C:C, Detail_Penjualan!B:B, A10)</f>
        <v>0</v>
      </c>
      <c r="J10" t="str">
        <f t="shared" si="1"/>
        <v>20</v>
      </c>
      <c r="K10">
        <v>5.0</v>
      </c>
      <c r="L10" t="str">
        <f t="shared" si="2"/>
        <v>Aman</v>
      </c>
    </row>
    <row r="11">
      <c r="A11" t="s">
        <v>131</v>
      </c>
      <c r="B11" t="s">
        <v>132</v>
      </c>
      <c r="C11" t="s">
        <v>22</v>
      </c>
      <c r="D11" t="s">
        <v>111</v>
      </c>
      <c r="E11" s="4">
        <v>45000.0</v>
      </c>
      <c r="F11" s="4">
        <v>60000.0</v>
      </c>
      <c r="G11">
        <v>20.0</v>
      </c>
      <c r="H11" t="str">
        <f>SUMIFS(Barang_Masuk!F:F, Barang_Masuk!D:D, A11)</f>
        <v>0</v>
      </c>
      <c r="I11" t="str">
        <f>SUMIFS(Detail_Penjualan!C:C, Detail_Penjualan!B:B, A11)</f>
        <v>1</v>
      </c>
      <c r="J11" t="str">
        <f t="shared" si="1"/>
        <v>19</v>
      </c>
      <c r="K11">
        <v>5.0</v>
      </c>
      <c r="L11" t="str">
        <f t="shared" si="2"/>
        <v>Aman</v>
      </c>
    </row>
    <row r="12">
      <c r="A12" t="s">
        <v>133</v>
      </c>
      <c r="B12" t="s">
        <v>134</v>
      </c>
      <c r="C12" t="s">
        <v>22</v>
      </c>
      <c r="D12" t="s">
        <v>111</v>
      </c>
      <c r="E12" s="4">
        <v>45000.0</v>
      </c>
      <c r="F12" s="4">
        <v>60000.0</v>
      </c>
      <c r="G12">
        <v>20.0</v>
      </c>
      <c r="H12" t="str">
        <f>SUMIFS(Barang_Masuk!F:F, Barang_Masuk!D:D, A12)</f>
        <v>0</v>
      </c>
      <c r="I12" t="str">
        <f>SUMIFS(Detail_Penjualan!C:C, Detail_Penjualan!B:B, A12)</f>
        <v>0</v>
      </c>
      <c r="J12" t="str">
        <f t="shared" si="1"/>
        <v>20</v>
      </c>
      <c r="K12">
        <v>5.0</v>
      </c>
      <c r="L12" t="str">
        <f t="shared" si="2"/>
        <v>Aman</v>
      </c>
    </row>
    <row r="13">
      <c r="A13" t="s">
        <v>135</v>
      </c>
      <c r="B13" t="s">
        <v>136</v>
      </c>
      <c r="C13" t="s">
        <v>22</v>
      </c>
      <c r="D13" t="s">
        <v>111</v>
      </c>
      <c r="E13" s="4">
        <v>5000.0</v>
      </c>
      <c r="F13" s="4">
        <v>10000.0</v>
      </c>
      <c r="G13">
        <v>30.0</v>
      </c>
      <c r="H13" t="str">
        <f>SUMIFS(Barang_Masuk!F:F, Barang_Masuk!D:D, A13)</f>
        <v>0</v>
      </c>
      <c r="I13" t="str">
        <f>SUMIFS(Detail_Penjualan!C:C, Detail_Penjualan!B:B, A13)</f>
        <v>0</v>
      </c>
      <c r="J13" t="str">
        <f t="shared" si="1"/>
        <v>30</v>
      </c>
      <c r="K13">
        <v>10.0</v>
      </c>
      <c r="L13" t="str">
        <f t="shared" si="2"/>
        <v>Aman</v>
      </c>
    </row>
    <row r="14">
      <c r="A14" t="s">
        <v>137</v>
      </c>
      <c r="B14" t="s">
        <v>138</v>
      </c>
      <c r="C14" t="s">
        <v>22</v>
      </c>
      <c r="D14" t="s">
        <v>111</v>
      </c>
      <c r="E14" s="4">
        <v>10000.0</v>
      </c>
      <c r="F14" s="4">
        <v>15000.0</v>
      </c>
      <c r="G14">
        <v>30.0</v>
      </c>
      <c r="H14" t="str">
        <f>SUMIFS(Barang_Masuk!F:F, Barang_Masuk!D:D, A14)</f>
        <v>0</v>
      </c>
      <c r="I14" t="str">
        <f>SUMIFS(Detail_Penjualan!C:C, Detail_Penjualan!B:B, A14)</f>
        <v>0</v>
      </c>
      <c r="J14" t="str">
        <f t="shared" si="1"/>
        <v>30</v>
      </c>
      <c r="K14">
        <v>10.0</v>
      </c>
      <c r="L14" t="str">
        <f t="shared" si="2"/>
        <v>Aman</v>
      </c>
    </row>
    <row r="15">
      <c r="A15" t="s">
        <v>139</v>
      </c>
      <c r="B15" t="s">
        <v>140</v>
      </c>
      <c r="C15" t="s">
        <v>18</v>
      </c>
      <c r="D15" t="s">
        <v>111</v>
      </c>
      <c r="E15" s="4">
        <v>4000.0</v>
      </c>
      <c r="F15" s="4">
        <v>6000.0</v>
      </c>
      <c r="G15">
        <v>40.0</v>
      </c>
      <c r="H15" t="str">
        <f>SUMIFS(Barang_Masuk!F:F, Barang_Masuk!D:D, A15)</f>
        <v>0</v>
      </c>
      <c r="I15" t="str">
        <f>SUMIFS(Detail_Penjualan!C:C, Detail_Penjualan!B:B, A15)</f>
        <v>0</v>
      </c>
      <c r="J15" t="str">
        <f t="shared" si="1"/>
        <v>40</v>
      </c>
      <c r="K15">
        <v>10.0</v>
      </c>
      <c r="L15" t="str">
        <f t="shared" si="2"/>
        <v>Aman</v>
      </c>
    </row>
    <row r="16">
      <c r="A16" t="s">
        <v>141</v>
      </c>
      <c r="B16" t="s">
        <v>142</v>
      </c>
      <c r="C16" t="s">
        <v>18</v>
      </c>
      <c r="D16" t="s">
        <v>111</v>
      </c>
      <c r="E16" s="4">
        <v>6000.0</v>
      </c>
      <c r="F16" s="4">
        <v>8500.0</v>
      </c>
      <c r="G16">
        <v>25.0</v>
      </c>
      <c r="H16" t="str">
        <f>SUMIFS(Barang_Masuk!F:F, Barang_Masuk!D:D, A16)</f>
        <v>0</v>
      </c>
      <c r="I16" t="str">
        <f>SUMIFS(Detail_Penjualan!C:C, Detail_Penjualan!B:B, A16)</f>
        <v>0</v>
      </c>
      <c r="J16" t="str">
        <f t="shared" si="1"/>
        <v>25</v>
      </c>
      <c r="K16">
        <v>5.0</v>
      </c>
      <c r="L16" t="str">
        <f t="shared" si="2"/>
        <v>Aman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3" t="s">
        <v>143</v>
      </c>
      <c r="B1" s="3" t="s">
        <v>144</v>
      </c>
      <c r="C1" s="3" t="s">
        <v>145</v>
      </c>
      <c r="D1" s="3" t="s">
        <v>98</v>
      </c>
      <c r="E1" s="3" t="s">
        <v>99</v>
      </c>
      <c r="F1" s="3" t="s">
        <v>146</v>
      </c>
      <c r="G1" s="3" t="s">
        <v>102</v>
      </c>
      <c r="H1" s="3" t="s">
        <v>147</v>
      </c>
      <c r="I1" s="3" t="s">
        <v>148</v>
      </c>
    </row>
    <row r="2">
      <c r="A2" t="s">
        <v>149</v>
      </c>
      <c r="B2" t="s">
        <v>150</v>
      </c>
      <c r="C2" t="s">
        <v>151</v>
      </c>
      <c r="D2" t="s">
        <v>109</v>
      </c>
      <c r="E2" t="str">
        <f t="array" ref="E2">XLOOKUP(D2,Data_Barang!A:A,Data_Barang!B:B,"")</f>
        <v>Buku Tulis Sinar</v>
      </c>
      <c r="F2">
        <v>50.0</v>
      </c>
      <c r="G2" s="5" t="str">
        <f t="array" ref="G2">XLOOKUP(D2,Data_Barang!A:A,Data_Barang!E:E,0)</f>
        <v>3,000</v>
      </c>
      <c r="H2" t="str">
        <f t="shared" ref="H2:H3" si="1">F2*G2</f>
        <v>150000</v>
      </c>
      <c r="I2" t="s">
        <v>152</v>
      </c>
    </row>
    <row r="3">
      <c r="A3" t="s">
        <v>153</v>
      </c>
      <c r="B3" t="s">
        <v>150</v>
      </c>
      <c r="C3" t="s">
        <v>151</v>
      </c>
      <c r="D3" t="s">
        <v>112</v>
      </c>
      <c r="E3" t="str">
        <f t="array" ref="E3">XLOOKUP(D3,Data_Barang!A:A,Data_Barang!B:B,"")</f>
        <v>Pensil 2B</v>
      </c>
      <c r="F3">
        <v>100.0</v>
      </c>
      <c r="G3" t="str">
        <f t="array" ref="G3">XLOOKUP(D3,Data_Barang!A:A,Data_Barang!E:E,0)</f>
        <v>1000</v>
      </c>
      <c r="H3" t="str">
        <f t="shared" si="1"/>
        <v>100000</v>
      </c>
      <c r="I3" t="s">
        <v>152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3" t="s">
        <v>154</v>
      </c>
      <c r="B1" s="3" t="s">
        <v>144</v>
      </c>
      <c r="C1" s="3" t="s">
        <v>31</v>
      </c>
      <c r="D1" s="3" t="s">
        <v>33</v>
      </c>
      <c r="E1" s="3" t="s">
        <v>155</v>
      </c>
      <c r="F1" s="3" t="s">
        <v>156</v>
      </c>
      <c r="G1" s="3" t="s">
        <v>157</v>
      </c>
      <c r="H1" s="3" t="s">
        <v>158</v>
      </c>
      <c r="I1" s="3" t="s">
        <v>159</v>
      </c>
      <c r="J1" s="3" t="s">
        <v>9</v>
      </c>
      <c r="K1" s="3" t="s">
        <v>160</v>
      </c>
    </row>
    <row r="2">
      <c r="A2" t="s">
        <v>161</v>
      </c>
      <c r="B2" t="s">
        <v>150</v>
      </c>
      <c r="C2" t="s">
        <v>38</v>
      </c>
      <c r="D2" t="str">
        <f t="array" ref="D2">XLOOKUP(C2,Data_Anak!A:A,Data_Anak!C:C,"")</f>
        <v>Budi Santoso</v>
      </c>
      <c r="E2" t="str">
        <f>SUMIFS(Detail_Penjualan!C:C,Detail_Penjualan!A:A,A2)</f>
        <v>3</v>
      </c>
      <c r="F2" t="str">
        <f>SUMIFS(Detail_Penjualan!F:F,Detail_Penjualan!A:A,A2)</f>
        <v>11500</v>
      </c>
      <c r="G2" t="s">
        <v>11</v>
      </c>
      <c r="H2" s="4">
        <v>15000.0</v>
      </c>
      <c r="I2" s="5" t="str">
        <f t="shared" ref="I2:I3" si="1">H2-F2</f>
        <v>3,500</v>
      </c>
      <c r="J2" t="str">
        <f t="shared" ref="J2:J3" si="2">IF(G2="Piutang","Belum Lunas","Lunas")</f>
        <v>Lunas</v>
      </c>
      <c r="K2" t="str">
        <f>SUMIFS(Detail_Penjualan!H:H,Detail_Penjualan!A:A,A2)</f>
        <v>3000</v>
      </c>
    </row>
    <row r="3">
      <c r="A3" t="s">
        <v>162</v>
      </c>
      <c r="B3" t="s">
        <v>163</v>
      </c>
      <c r="C3" t="s">
        <v>44</v>
      </c>
      <c r="D3" t="str">
        <f t="array" ref="D3">XLOOKUP(C3,Data_Anak!A:A,Data_Anak!C:C,"")</f>
        <v>Siti Aminah</v>
      </c>
      <c r="E3" t="str">
        <f>SUMIFS(Detail_Penjualan!C:C,Detail_Penjualan!A:A,A3)</f>
        <v>1</v>
      </c>
      <c r="F3" t="str">
        <f>SUMIFS(Detail_Penjualan!F:F,Detail_Penjualan!A:A,A3)</f>
        <v>60000</v>
      </c>
      <c r="G3" t="s">
        <v>23</v>
      </c>
      <c r="H3">
        <v>0.0</v>
      </c>
      <c r="I3" t="str">
        <f t="shared" si="1"/>
        <v>-60000</v>
      </c>
      <c r="J3" t="str">
        <f t="shared" si="2"/>
        <v>Belum Lunas</v>
      </c>
      <c r="K3" t="str">
        <f>SUMIFS(Detail_Penjualan!H:H,Detail_Penjualan!A:A,A3)</f>
        <v>15000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3" t="s">
        <v>154</v>
      </c>
      <c r="B1" s="3" t="s">
        <v>98</v>
      </c>
      <c r="C1" s="3" t="s">
        <v>164</v>
      </c>
      <c r="D1" s="3" t="s">
        <v>103</v>
      </c>
      <c r="E1" s="3" t="s">
        <v>102</v>
      </c>
      <c r="F1" s="3" t="s">
        <v>165</v>
      </c>
      <c r="G1" s="3" t="s">
        <v>99</v>
      </c>
      <c r="H1" s="3" t="s">
        <v>166</v>
      </c>
    </row>
    <row r="2">
      <c r="A2" t="s">
        <v>161</v>
      </c>
      <c r="B2" t="s">
        <v>109</v>
      </c>
      <c r="C2">
        <v>2.0</v>
      </c>
      <c r="D2" s="5" t="str">
        <f t="array" ref="D2">XLOOKUP(B2,Data_Barang!A:A,Data_Barang!F:F,0)</f>
        <v>4,000</v>
      </c>
      <c r="E2" s="5" t="str">
        <f t="array" ref="E2">XLOOKUP(B2,Data_Barang!A:A,Data_Barang!E:E,0)</f>
        <v>3,000</v>
      </c>
      <c r="F2" t="str">
        <f t="shared" ref="F2:F4" si="1">C2*D2</f>
        <v>8000</v>
      </c>
      <c r="G2" t="str">
        <f t="array" ref="G2">XLOOKUP(B2,Data_Barang!A:A,Data_Barang!B:B,"")</f>
        <v>Buku Tulis Sinar</v>
      </c>
      <c r="H2" t="str">
        <f t="shared" ref="H2:H4" si="2">(D2-E2)*C2</f>
        <v>2000</v>
      </c>
    </row>
    <row r="3">
      <c r="A3" t="s">
        <v>161</v>
      </c>
      <c r="B3" t="s">
        <v>118</v>
      </c>
      <c r="C3">
        <v>1.0</v>
      </c>
      <c r="D3" s="5" t="str">
        <f t="array" ref="D3">XLOOKUP(B3,Data_Barang!A:A,Data_Barang!F:F,0)</f>
        <v>3,500</v>
      </c>
      <c r="E3" s="5" t="str">
        <f t="array" ref="E3">XLOOKUP(B3,Data_Barang!A:A,Data_Barang!E:E,0)</f>
        <v>2,500</v>
      </c>
      <c r="F3" t="str">
        <f t="shared" si="1"/>
        <v>3500</v>
      </c>
      <c r="G3" t="str">
        <f t="array" ref="G3">XLOOKUP(B3,Data_Barang!A:A,Data_Barang!B:B,"")</f>
        <v>Air Mineral 600ml</v>
      </c>
      <c r="H3" t="str">
        <f t="shared" si="2"/>
        <v>1000</v>
      </c>
    </row>
    <row r="4">
      <c r="A4" t="s">
        <v>162</v>
      </c>
      <c r="B4" t="s">
        <v>131</v>
      </c>
      <c r="C4">
        <v>1.0</v>
      </c>
      <c r="D4" s="5" t="str">
        <f t="array" ref="D4">XLOOKUP(B4,Data_Barang!A:A,Data_Barang!F:F,0)</f>
        <v>60,000</v>
      </c>
      <c r="E4" s="5" t="str">
        <f t="array" ref="E4">XLOOKUP(B4,Data_Barang!A:A,Data_Barang!E:E,0)</f>
        <v>45,000</v>
      </c>
      <c r="F4" t="str">
        <f t="shared" si="1"/>
        <v>60000</v>
      </c>
      <c r="G4" t="str">
        <f t="array" ref="G4">XLOOKUP(B4,Data_Barang!A:A,Data_Barang!B:B,"")</f>
        <v>Seragam SD Putih</v>
      </c>
      <c r="H4" t="str">
        <f t="shared" si="2"/>
        <v>15000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3" t="s">
        <v>154</v>
      </c>
      <c r="B1" s="3" t="s">
        <v>167</v>
      </c>
      <c r="C1" s="3" t="s">
        <v>31</v>
      </c>
      <c r="D1" s="3" t="s">
        <v>33</v>
      </c>
      <c r="E1" s="3" t="s">
        <v>168</v>
      </c>
      <c r="F1" s="3" t="s">
        <v>169</v>
      </c>
      <c r="G1" s="3" t="s">
        <v>170</v>
      </c>
      <c r="H1" s="3" t="s">
        <v>9</v>
      </c>
    </row>
    <row r="2">
      <c r="A2" t="s">
        <v>162</v>
      </c>
      <c r="B2" t="str">
        <f t="array" ref="B2">XLOOKUP(A2,Penjualan!A:A,Penjualan!B:B,"")</f>
        <v>2026-09-02</v>
      </c>
      <c r="C2" t="str">
        <f t="array" ref="C2">XLOOKUP(A2,Penjualan!A:A,Penjualan!C:C,"")</f>
        <v>A-002</v>
      </c>
      <c r="D2" t="str">
        <f t="array" ref="D2">XLOOKUP(C2,Data_Anak!A:A,Data_Anak!C:C,"")</f>
        <v>Siti Aminah</v>
      </c>
      <c r="E2" t="str">
        <f t="array" ref="E2">XLOOKUP(A2,Penjualan!A:A,Penjualan!F:F,0)</f>
        <v>60000</v>
      </c>
      <c r="F2" t="str">
        <f>SUMIFS(Pembayaran_Piutang!C:C,Pembayaran_Piutang!A:A,A2)</f>
        <v>0</v>
      </c>
      <c r="G2" t="str">
        <f>E2-F2</f>
        <v>60000</v>
      </c>
      <c r="H2" t="str">
        <f>IF(G2&lt;=0, "Lunas", IF(F2&gt;0, "Sebagian", "Belum Lunas"))</f>
        <v>Belum Lunas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3" t="s">
        <v>154</v>
      </c>
      <c r="B1" s="3" t="s">
        <v>171</v>
      </c>
      <c r="C1" s="3" t="s">
        <v>172</v>
      </c>
      <c r="D1" s="3" t="s">
        <v>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5.0"/>
    <col customWidth="1" min="3" max="3" width="35.0"/>
    <col customWidth="1" min="4" max="4" width="10.0"/>
    <col customWidth="1" min="5" max="5" width="15.0"/>
    <col customWidth="1" min="6" max="6" width="20.0"/>
    <col customWidth="1" min="7" max="11" width="8.71"/>
  </cols>
  <sheetData>
    <row r="2">
      <c r="B2" s="6" t="s">
        <v>173</v>
      </c>
    </row>
    <row r="4">
      <c r="B4" t="s">
        <v>174</v>
      </c>
      <c r="C4" s="7" t="str">
        <f>"TRX-"&amp;TEXT(TODAY(),"YYYYMMDD")&amp;"-"&amp;TEXT(COUNTA(Penjualan!A:A),"000")</f>
        <v>TRX-20260902-003</v>
      </c>
    </row>
    <row r="5">
      <c r="B5" t="s">
        <v>175</v>
      </c>
      <c r="C5" s="8" t="str">
        <f>TODAY()</f>
        <v>9/2/2026</v>
      </c>
    </row>
    <row r="6">
      <c r="B6" t="s">
        <v>176</v>
      </c>
      <c r="C6" s="9" t="s">
        <v>38</v>
      </c>
    </row>
    <row r="7">
      <c r="B7" t="s">
        <v>177</v>
      </c>
      <c r="C7" t="str">
        <f t="array" ref="C7">IFERROR(XLOOKUP(C6,Data_Anak!A:A,Data_Anak!C:C,""),"")</f>
        <v>Budi Santoso</v>
      </c>
    </row>
    <row r="8">
      <c r="B8" t="s">
        <v>178</v>
      </c>
      <c r="C8" t="str">
        <f t="array" ref="C8">IFERROR(XLOOKUP(C6,Data_Anak!A:A,Data_Anak!D:D,""),"")</f>
        <v>1A</v>
      </c>
    </row>
    <row r="10">
      <c r="B10" s="10" t="s">
        <v>179</v>
      </c>
      <c r="C10" s="10" t="s">
        <v>180</v>
      </c>
      <c r="D10" s="10" t="s">
        <v>164</v>
      </c>
      <c r="E10" s="10" t="s">
        <v>181</v>
      </c>
      <c r="F10" s="10" t="s">
        <v>165</v>
      </c>
    </row>
    <row r="11">
      <c r="B11" s="11" t="s">
        <v>109</v>
      </c>
      <c r="C11" t="str">
        <f t="array" ref="C11">IFERROR(XLOOKUP(B11,Data_Barang!A:A,Data_Barang!B:B,""),"")</f>
        <v>Buku Tulis Sinar</v>
      </c>
      <c r="D11" s="11">
        <v>1.0</v>
      </c>
      <c r="E11" t="str">
        <f t="array" ref="E11">IFERROR(XLOOKUP(B11,Data_Barang!A:A,Data_Barang!F:F,0),0)</f>
        <v>4000</v>
      </c>
      <c r="F11" t="str">
        <f t="shared" ref="F11:F20" si="1">IF(B11="","", D11*E11)</f>
        <v>4000</v>
      </c>
    </row>
    <row r="12">
      <c r="B12" s="12"/>
      <c r="C12" t="str">
        <f t="array" ref="C12">IFERROR(XLOOKUP(B12,Data_Barang!A:A,Data_Barang!B:B,""),"")</f>
        <v/>
      </c>
      <c r="D12" s="12"/>
      <c r="E12" t="str">
        <f t="array" ref="E12">IFERROR(XLOOKUP(B12,Data_Barang!A:A,Data_Barang!F:F,0),0)</f>
        <v>0</v>
      </c>
      <c r="F12" t="str">
        <f t="shared" si="1"/>
        <v/>
      </c>
    </row>
    <row r="13">
      <c r="B13" s="12"/>
      <c r="C13" t="str">
        <f t="array" ref="C13">IFERROR(XLOOKUP(B13,Data_Barang!A:A,Data_Barang!B:B,""),"")</f>
        <v/>
      </c>
      <c r="D13" s="12"/>
      <c r="E13" t="str">
        <f t="array" ref="E13">IFERROR(XLOOKUP(B13,Data_Barang!A:A,Data_Barang!F:F,0),0)</f>
        <v>0</v>
      </c>
      <c r="F13" t="str">
        <f t="shared" si="1"/>
        <v/>
      </c>
    </row>
    <row r="14">
      <c r="B14" s="12"/>
      <c r="C14" t="str">
        <f t="array" ref="C14">IFERROR(XLOOKUP(B14,Data_Barang!A:A,Data_Barang!B:B,""),"")</f>
        <v/>
      </c>
      <c r="D14" s="12"/>
      <c r="E14" t="str">
        <f t="array" ref="E14">IFERROR(XLOOKUP(B14,Data_Barang!A:A,Data_Barang!F:F,0),0)</f>
        <v>0</v>
      </c>
      <c r="F14" t="str">
        <f t="shared" si="1"/>
        <v/>
      </c>
    </row>
    <row r="15">
      <c r="B15" s="12"/>
      <c r="C15" t="str">
        <f t="array" ref="C15">IFERROR(XLOOKUP(B15,Data_Barang!A:A,Data_Barang!B:B,""),"")</f>
        <v/>
      </c>
      <c r="D15" s="12"/>
      <c r="E15" t="str">
        <f t="array" ref="E15">IFERROR(XLOOKUP(B15,Data_Barang!A:A,Data_Barang!F:F,0),0)</f>
        <v>0</v>
      </c>
      <c r="F15" t="str">
        <f t="shared" si="1"/>
        <v/>
      </c>
    </row>
    <row r="16">
      <c r="B16" s="12"/>
      <c r="C16" t="str">
        <f t="array" ref="C16">IFERROR(XLOOKUP(B16,Data_Barang!A:A,Data_Barang!B:B,""),"")</f>
        <v/>
      </c>
      <c r="D16" s="12"/>
      <c r="E16" t="str">
        <f t="array" ref="E16">IFERROR(XLOOKUP(B16,Data_Barang!A:A,Data_Barang!F:F,0),0)</f>
        <v>0</v>
      </c>
      <c r="F16" t="str">
        <f t="shared" si="1"/>
        <v/>
      </c>
    </row>
    <row r="17">
      <c r="B17" s="12"/>
      <c r="C17" t="str">
        <f t="array" ref="C17">IFERROR(XLOOKUP(B17,Data_Barang!A:A,Data_Barang!B:B,""),"")</f>
        <v/>
      </c>
      <c r="D17" s="12"/>
      <c r="E17" t="str">
        <f t="array" ref="E17">IFERROR(XLOOKUP(B17,Data_Barang!A:A,Data_Barang!F:F,0),0)</f>
        <v>0</v>
      </c>
      <c r="F17" t="str">
        <f t="shared" si="1"/>
        <v/>
      </c>
    </row>
    <row r="18">
      <c r="B18" s="12"/>
      <c r="C18" t="str">
        <f t="array" ref="C18">IFERROR(XLOOKUP(B18,Data_Barang!A:A,Data_Barang!B:B,""),"")</f>
        <v/>
      </c>
      <c r="D18" s="12"/>
      <c r="E18" t="str">
        <f t="array" ref="E18">IFERROR(XLOOKUP(B18,Data_Barang!A:A,Data_Barang!F:F,0),0)</f>
        <v>0</v>
      </c>
      <c r="F18" t="str">
        <f t="shared" si="1"/>
        <v/>
      </c>
    </row>
    <row r="19">
      <c r="B19" s="12"/>
      <c r="C19" t="str">
        <f t="array" ref="C19">IFERROR(XLOOKUP(B19,Data_Barang!A:A,Data_Barang!B:B,""),"")</f>
        <v/>
      </c>
      <c r="D19" s="12"/>
      <c r="E19" t="str">
        <f t="array" ref="E19">IFERROR(XLOOKUP(B19,Data_Barang!A:A,Data_Barang!F:F,0),0)</f>
        <v>0</v>
      </c>
      <c r="F19" t="str">
        <f t="shared" si="1"/>
        <v/>
      </c>
    </row>
    <row r="20">
      <c r="B20" s="12"/>
      <c r="C20" t="str">
        <f t="array" ref="C20">IFERROR(XLOOKUP(B20,Data_Barang!A:A,Data_Barang!B:B,""),"")</f>
        <v/>
      </c>
      <c r="D20" s="12"/>
      <c r="E20" t="str">
        <f t="array" ref="E20">IFERROR(XLOOKUP(B20,Data_Barang!A:A,Data_Barang!F:F,0),0)</f>
        <v>0</v>
      </c>
      <c r="F20" t="str">
        <f t="shared" si="1"/>
        <v/>
      </c>
    </row>
    <row r="21" ht="15.75" customHeight="1"/>
    <row r="22" ht="15.75" customHeight="1">
      <c r="E22" t="s">
        <v>182</v>
      </c>
      <c r="F22" s="2" t="str">
        <f>SUM(F11:F20)</f>
        <v>4000</v>
      </c>
    </row>
    <row r="23" ht="15.75" customHeight="1">
      <c r="E23" t="s">
        <v>183</v>
      </c>
      <c r="F23" s="13" t="s">
        <v>11</v>
      </c>
    </row>
    <row r="24" ht="15.75" customHeight="1">
      <c r="E24" t="s">
        <v>184</v>
      </c>
      <c r="F24" s="14">
        <v>10000.0</v>
      </c>
    </row>
    <row r="25" ht="15.75" customHeight="1">
      <c r="E25" t="s">
        <v>185</v>
      </c>
      <c r="F25" s="7" t="str">
        <f>F24-F22</f>
        <v>6000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2:F2"/>
  </mergeCells>
  <dataValidations>
    <dataValidation type="list" allowBlank="1" sqref="F23">
      <formula1>Pengaturan!$B$2:$B$5</formula1>
    </dataValidation>
    <dataValidation type="list" allowBlank="1" sqref="C6">
      <formula1>Data_Anak!$A$2:$A$1000</formula1>
    </dataValidation>
    <dataValidation type="list" allowBlank="1" sqref="B11:B20">
      <formula1>Data_Barang!$A$2:$A$1000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1" width="8.71"/>
  </cols>
  <sheetData>
    <row r="2">
      <c r="B2" s="1" t="s">
        <v>186</v>
      </c>
    </row>
    <row r="4">
      <c r="B4" t="s">
        <v>174</v>
      </c>
      <c r="C4" s="13" t="s">
        <v>161</v>
      </c>
    </row>
    <row r="5">
      <c r="B5" t="s">
        <v>175</v>
      </c>
      <c r="C5" t="str">
        <f t="array" ref="C5">IFERROR(XLOOKUP(C4,Penjualan!A:A,Penjualan!B:B,""),"")</f>
        <v>2026-09-01</v>
      </c>
    </row>
    <row r="6">
      <c r="B6" t="s">
        <v>177</v>
      </c>
      <c r="C6" t="str">
        <f t="array" ref="C6">IFERROR(XLOOKUP(C4,Penjualan!A:A,Penjualan!D:D,""),"")</f>
        <v>Budi Santoso</v>
      </c>
    </row>
    <row r="8">
      <c r="A8" s="3"/>
      <c r="B8" s="3" t="s">
        <v>187</v>
      </c>
      <c r="C8" s="3" t="s">
        <v>164</v>
      </c>
      <c r="D8" s="3" t="s">
        <v>181</v>
      </c>
      <c r="E8" s="3" t="s">
        <v>165</v>
      </c>
    </row>
    <row r="9">
      <c r="B9" t="str">
        <f t="array" ref="B9">IFERROR(INDEX(Detail_Penjualan!G:G, MATCH(1, (Detail_Penjualan!A:A=$C$4)*(COUNTIF($B$8:B8, Detail_Penjualan!G:G)=0), 0)), "")</f>
        <v>Buku Tulis Sinar</v>
      </c>
    </row>
    <row r="10">
      <c r="B10" t="str">
        <f t="array" ref="B10">IFERROR(INDEX(Detail_Penjualan!G:G, MATCH(1, (Detail_Penjualan!A:A=$C$4)*(COUNTIF($B$8:B9, Detail_Penjualan!G:G)=0), 0)), "")</f>
        <v>Air Mineral 600ml</v>
      </c>
    </row>
    <row r="11">
      <c r="B11" t="str">
        <f t="array" ref="B11">IFERROR(INDEX(Detail_Penjualan!G:G, MATCH(1, (Detail_Penjualan!A:A=$C$4)*(COUNTIF($B$8:B10, Detail_Penjualan!G:G)=0), 0)), "")</f>
        <v/>
      </c>
    </row>
    <row r="12">
      <c r="B12" t="str">
        <f t="array" ref="B12">IFERROR(INDEX(Detail_Penjualan!G:G, MATCH(1, (Detail_Penjualan!A:A=$C$4)*(COUNTIF($B$8:B11, Detail_Penjualan!G:G)=0), 0)), "")</f>
        <v/>
      </c>
    </row>
    <row r="13">
      <c r="B13" t="str">
        <f t="array" ref="B13">IFERROR(INDEX(Detail_Penjualan!G:G, MATCH(1, (Detail_Penjualan!A:A=$C$4)*(COUNTIF($B$8:B12, Detail_Penjualan!G:G)=0), 0)), "")</f>
        <v/>
      </c>
    </row>
    <row r="15">
      <c r="D15" t="s">
        <v>188</v>
      </c>
      <c r="E15" t="str">
        <f t="array" ref="E15">IFERROR(XLOOKUP(C4,Penjualan!A:A,Penjualan!F:F,0),0)</f>
        <v>11500</v>
      </c>
    </row>
    <row r="16">
      <c r="D16" t="s">
        <v>189</v>
      </c>
      <c r="E16" t="str">
        <f t="array" ref="E16">IFERROR(XLOOKUP(C4,Penjualan!A:A,Penjualan!H:H,0),0)</f>
        <v>15000</v>
      </c>
    </row>
    <row r="17">
      <c r="D17" t="s">
        <v>190</v>
      </c>
      <c r="E17" t="str">
        <f t="array" ref="E17">IFERROR(XLOOKUP(C4,Penjualan!A:A,Penjualan!I:I,0),0)</f>
        <v>3500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2026-09-03T03:43:40Z</dcterms:created>
  <dc:creator>openpyxl</dc:creator>
  <dcterms:modified xsi:type="dcterms:W3CDTF">2026-09-03T03:43:40Z</dcterms:modified>
</cp:coreProperties>
</file>